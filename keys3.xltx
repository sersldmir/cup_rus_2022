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<sst xmlns="http://schemas.openxmlformats.org/spreadsheetml/2006/main" count="22" uniqueCount="22">
  <si>
    <t xml:space="preserve">Наши примерные расчеты за год</t>
  </si>
  <si>
    <t xml:space="preserve">данные</t>
  </si>
  <si>
    <t xml:space="preserve">значение в 1 год</t>
  </si>
  <si>
    <t xml:space="preserve">значения за 2 год</t>
  </si>
  <si>
    <t xml:space="preserve">значения за 3 год</t>
  </si>
  <si>
    <t xml:space="preserve">Кол-во пользователей (тыс)</t>
  </si>
  <si>
    <t xml:space="preserve">Кол-во покупок подписки (95%)</t>
  </si>
  <si>
    <t xml:space="preserve">Средняя цена подписки</t>
  </si>
  <si>
    <t xml:space="preserve">Выручка от подписок </t>
  </si>
  <si>
    <t xml:space="preserve">Кол-во донатов (7%)</t>
  </si>
  <si>
    <t xml:space="preserve">Средняя сумма доната</t>
  </si>
  <si>
    <t xml:space="preserve">Выручка от донатов</t>
  </si>
  <si>
    <t xml:space="preserve">Кол-во поштучных продаж (20%)</t>
  </si>
  <si>
    <t xml:space="preserve">Средняя величина доната при поштучной продаже </t>
  </si>
  <si>
    <t xml:space="preserve">Выручка от поштучной продажи</t>
  </si>
  <si>
    <t xml:space="preserve">Общая выручка</t>
  </si>
  <si>
    <t xml:space="preserve">Расходы на рекламу и оригинальный контент</t>
  </si>
  <si>
    <t xml:space="preserve">Расходы на команду и прочие расходы</t>
  </si>
  <si>
    <t xml:space="preserve">Отчисления партнерам (в среднем 50%)</t>
  </si>
  <si>
    <t xml:space="preserve">Маржинальная прибыль</t>
  </si>
  <si>
    <t xml:space="preserve">Операционная прибыль</t>
  </si>
  <si>
    <t xml:space="preserve">Прибыль до вычета налогов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</si>
</sst>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00A933"/>
        <bgColor rgb="FF0080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A933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1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13" activeCellId="0" sqref="I13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  <c r="B1" s="1"/>
      <c r="C1" s="1"/>
      <c r="D1" s="1"/>
    </row>
    <row r="2" customFormat="false" ht="12.8" hidden="false" customHeight="false" outlineLevel="0" collapsed="false">
      <c r="A2" s="0" t="s">
        <v>1</v>
      </c>
      <c r="B2" s="0" t="s">
        <v>2</v>
      </c>
      <c r="C2" s="0" t="s">
        <v>3</v>
      </c>
      <c r="D2" s="0" t="s">
        <v>4</v>
      </c>
    </row>
    <row r="3" customFormat="false" ht="12.8" hidden="false" customHeight="false" outlineLevel="0" collapsed="false">
      <c r="A3" s="0" t="s">
        <v>5</v>
      </c>
      <c r="B3" s="0" t="n">
        <v>1200</v>
      </c>
      <c r="C3" s="0" t="n">
        <f aca="false">B3*1.1</f>
        <v>1320</v>
      </c>
      <c r="D3" s="0" t="n">
        <f aca="false">C3*1.1</f>
        <v>1452</v>
      </c>
    </row>
    <row r="4" customFormat="false" ht="12.8" hidden="false" customHeight="false" outlineLevel="0" collapsed="false">
      <c r="A4" s="0" t="s">
        <v>6</v>
      </c>
      <c r="B4" s="0" t="n">
        <f aca="false">B3*0.95</f>
        <v>1140</v>
      </c>
      <c r="C4" s="0" t="n">
        <f aca="false">C3*0.95</f>
        <v>1254</v>
      </c>
      <c r="D4" s="0" t="n">
        <f aca="false">D3*0.95</f>
        <v>1379.4</v>
      </c>
    </row>
    <row r="5" customFormat="false" ht="12.8" hidden="false" customHeight="false" outlineLevel="0" collapsed="false">
      <c r="A5" s="0" t="s">
        <v>7</v>
      </c>
      <c r="B5" s="0" t="n">
        <v>250</v>
      </c>
      <c r="C5" s="0" t="n">
        <v>260</v>
      </c>
      <c r="D5" s="0" t="n">
        <v>270</v>
      </c>
    </row>
    <row r="6" customFormat="false" ht="12.8" hidden="false" customHeight="false" outlineLevel="0" collapsed="false">
      <c r="A6" s="0" t="s">
        <v>8</v>
      </c>
      <c r="B6" s="0" t="n">
        <f aca="false">B5*B4</f>
        <v>285000</v>
      </c>
      <c r="C6" s="0" t="n">
        <f aca="false">C5*C4</f>
        <v>326040</v>
      </c>
      <c r="D6" s="0" t="n">
        <f aca="false">D5*D4</f>
        <v>372438</v>
      </c>
    </row>
    <row r="7" customFormat="false" ht="12.8" hidden="false" customHeight="false" outlineLevel="0" collapsed="false">
      <c r="A7" s="0" t="s">
        <v>9</v>
      </c>
      <c r="B7" s="0" t="n">
        <f aca="false">B3*0.07</f>
        <v>84</v>
      </c>
      <c r="C7" s="0" t="n">
        <f aca="false">C3*0.07</f>
        <v>92.4</v>
      </c>
      <c r="D7" s="0" t="n">
        <f aca="false">D3*0.07</f>
        <v>101.64</v>
      </c>
    </row>
    <row r="8" customFormat="false" ht="12.8" hidden="false" customHeight="false" outlineLevel="0" collapsed="false">
      <c r="A8" s="0" t="s">
        <v>10</v>
      </c>
      <c r="B8" s="0" t="n">
        <v>200</v>
      </c>
      <c r="C8" s="0" t="n">
        <v>200</v>
      </c>
      <c r="D8" s="0" t="n">
        <v>200</v>
      </c>
    </row>
    <row r="9" customFormat="false" ht="12.8" hidden="false" customHeight="false" outlineLevel="0" collapsed="false">
      <c r="A9" s="0" t="s">
        <v>11</v>
      </c>
      <c r="B9" s="0" t="n">
        <f aca="false">B8*B7</f>
        <v>16800</v>
      </c>
      <c r="C9" s="0" t="n">
        <f aca="false">C8*C7</f>
        <v>18480</v>
      </c>
      <c r="D9" s="0" t="n">
        <f aca="false">D8*D7</f>
        <v>20328</v>
      </c>
    </row>
    <row r="10" customFormat="false" ht="12.8" hidden="false" customHeight="false" outlineLevel="0" collapsed="false">
      <c r="A10" s="0" t="s">
        <v>12</v>
      </c>
      <c r="B10" s="0" t="n">
        <f aca="false">B3*0.2</f>
        <v>240</v>
      </c>
      <c r="C10" s="0" t="n">
        <f aca="false">C3*0.2</f>
        <v>264</v>
      </c>
      <c r="D10" s="0" t="n">
        <f aca="false">D3*0.2</f>
        <v>290.4</v>
      </c>
    </row>
    <row r="11" customFormat="false" ht="12.8" hidden="false" customHeight="false" outlineLevel="0" collapsed="false">
      <c r="A11" s="0" t="s">
        <v>13</v>
      </c>
      <c r="B11" s="0" t="n">
        <v>200</v>
      </c>
      <c r="C11" s="0" t="n">
        <v>230</v>
      </c>
      <c r="D11" s="0" t="n">
        <v>260</v>
      </c>
    </row>
    <row r="12" customFormat="false" ht="12.8" hidden="false" customHeight="false" outlineLevel="0" collapsed="false">
      <c r="A12" s="0" t="s">
        <v>14</v>
      </c>
      <c r="B12" s="0" t="n">
        <f aca="false">B11*B10</f>
        <v>48000</v>
      </c>
      <c r="C12" s="0" t="n">
        <f aca="false">C11*C10</f>
        <v>60720</v>
      </c>
      <c r="D12" s="0" t="n">
        <f aca="false">D11*D10</f>
        <v>75504</v>
      </c>
    </row>
    <row r="13" customFormat="false" ht="12.8" hidden="false" customHeight="false" outlineLevel="0" collapsed="false">
      <c r="A13" s="0" t="s">
        <v>15</v>
      </c>
      <c r="B13" s="0" t="n">
        <f aca="false">B12+B9+B6</f>
        <v>349800</v>
      </c>
      <c r="C13" s="0" t="n">
        <f aca="false">C12+C9+C6</f>
        <v>405240</v>
      </c>
      <c r="D13" s="0" t="n">
        <f aca="false">D12+D9+D6</f>
        <v>468270</v>
      </c>
    </row>
    <row r="14" customFormat="false" ht="12.8" hidden="false" customHeight="false" outlineLevel="0" collapsed="false">
      <c r="A14" s="0" t="s">
        <v>16</v>
      </c>
      <c r="B14" s="0" t="n">
        <v>100000</v>
      </c>
      <c r="C14" s="0" t="n">
        <v>100000</v>
      </c>
      <c r="D14" s="0" t="n">
        <v>100000</v>
      </c>
    </row>
    <row r="15" customFormat="false" ht="12.8" hidden="false" customHeight="false" outlineLevel="0" collapsed="false">
      <c r="A15" s="0" t="s">
        <v>17</v>
      </c>
      <c r="B15" s="0" t="n">
        <v>100000</v>
      </c>
      <c r="C15" s="0" t="n">
        <v>100000</v>
      </c>
      <c r="D15" s="0" t="n">
        <v>100000</v>
      </c>
    </row>
    <row r="16" customFormat="false" ht="12.8" hidden="false" customHeight="false" outlineLevel="0" collapsed="false">
      <c r="A16" s="0" t="s">
        <v>18</v>
      </c>
      <c r="B16" s="0" t="n">
        <f aca="false">B13*0.5</f>
        <v>174900</v>
      </c>
      <c r="C16" s="0" t="n">
        <f aca="false">C13*0.5</f>
        <v>202620</v>
      </c>
      <c r="D16" s="0" t="n">
        <f aca="false">D13*0.5</f>
        <v>234135</v>
      </c>
    </row>
    <row r="17" customFormat="false" ht="12.8" hidden="false" customHeight="false" outlineLevel="0" collapsed="false">
      <c r="A17" s="0" t="s">
        <v>19</v>
      </c>
      <c r="B17" s="0" t="n">
        <f aca="false">B13-B16</f>
        <v>174900</v>
      </c>
      <c r="C17" s="0" t="n">
        <f aca="false">C13-C16</f>
        <v>202620</v>
      </c>
      <c r="D17" s="0" t="n">
        <f aca="false">D13-D16</f>
        <v>234135</v>
      </c>
    </row>
    <row r="18" customFormat="false" ht="12.8" hidden="false" customHeight="false" outlineLevel="0" collapsed="false">
      <c r="A18" s="0" t="s">
        <v>20</v>
      </c>
      <c r="B18" s="0" t="n">
        <f aca="false">B17-B14-B15</f>
        <v>-25100</v>
      </c>
      <c r="C18" s="0" t="n">
        <f aca="false">C17-C14-C15</f>
        <v>2620</v>
      </c>
      <c r="D18" s="0" t="n">
        <f aca="false">D17-D14-D15</f>
        <v>34135.0000000001</v>
      </c>
    </row>
    <row r="19" customFormat="false" ht="12.8" hidden="false" customHeight="false" outlineLevel="0" collapsed="false">
      <c r="A19" s="0" t="s">
        <v>21</v>
      </c>
      <c r="B19" s="0" t="n">
        <f aca="false">B18</f>
        <v>-25100</v>
      </c>
      <c r="C19" s="0" t="n">
        <f aca="false">B18+C18</f>
        <v>-22480</v>
      </c>
      <c r="D19" s="2" t="n">
        <f aca="false">C19+D18</f>
        <v>11655.0000000001</v>
      </c>
    </row>
  </sheetData>
  <mergeCells count="1">
    <mergeCell ref="A1:D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2022-03-27T23:47:42Z</dcterms:created>
  <dc:creator/>
  <dc:description/>
  <dc:language>ru-RU</dc:language>
  <cp:lastModifiedBy/>
  <dcterms:modified xsi:type="dcterms:W3CDTF">2022-03-28T00:28:10Z</dcterms:modified>
  <cp:revision>1</cp:revision>
  <dc:subject/>
  <dc:title/>
</cp:coreProperties>
</file>