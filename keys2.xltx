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<sst xmlns="http://schemas.openxmlformats.org/spreadsheetml/2006/main" count="19" uniqueCount="19">
  <si>
    <t xml:space="preserve">Наши примерные расчеты за год</t>
  </si>
  <si>
    <t xml:space="preserve">данные</t>
  </si>
  <si>
    <t xml:space="preserve">значение в 1 год</t>
  </si>
  <si>
    <t xml:space="preserve">значения за 2 год</t>
  </si>
  <si>
    <t xml:space="preserve">значения за 3 год</t>
  </si>
  <si>
    <t xml:space="preserve">Кол-во пользователей (тыс)</t>
  </si>
  <si>
    <t xml:space="preserve">Кол-во покупок электронной книги одного человека</t>
  </si>
  <si>
    <t xml:space="preserve">Средняя цена электронной книги</t>
  </si>
  <si>
    <t xml:space="preserve">Выручка от электронных книг</t>
  </si>
  <si>
    <t xml:space="preserve">Средняя цена аудиокниги</t>
  </si>
  <si>
    <t xml:space="preserve">Кол-во покупок аудиокниг одного человека</t>
  </si>
  <si>
    <t xml:space="preserve">Выручка от аудиокниг</t>
  </si>
  <si>
    <t xml:space="preserve">Общая выручка </t>
  </si>
  <si>
    <t xml:space="preserve">Расходы на рекламу и оригинальный контент</t>
  </si>
  <si>
    <t xml:space="preserve">Расходы на команду и прочие расходы</t>
  </si>
  <si>
    <t xml:space="preserve">Отчисления партнерам (в среднем 50%)</t>
  </si>
  <si>
    <t xml:space="preserve">Маржинальная прибыль</t>
  </si>
  <si>
    <t xml:space="preserve">Операционная прибыль</t>
  </si>
  <si>
    <t xml:space="preserve">Прибыль до вычета налогов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</si>
</sst>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00A933"/>
        <bgColor rgb="FF0080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A933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1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6" activeCellId="0" sqref="D16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  <c r="B1" s="1"/>
    </row>
    <row r="2" customFormat="false" ht="12.8" hidden="false" customHeight="false" outlineLevel="0" collapsed="false">
      <c r="A2" s="0" t="s">
        <v>1</v>
      </c>
      <c r="B2" s="0" t="s">
        <v>2</v>
      </c>
      <c r="C2" s="0" t="s">
        <v>3</v>
      </c>
      <c r="D2" s="0" t="s">
        <v>4</v>
      </c>
    </row>
    <row r="3" customFormat="false" ht="12.8" hidden="false" customHeight="false" outlineLevel="0" collapsed="false">
      <c r="A3" s="0" t="s">
        <v>5</v>
      </c>
      <c r="B3" s="0" t="n">
        <v>1000</v>
      </c>
      <c r="C3" s="0" t="n">
        <v>1050</v>
      </c>
      <c r="D3" s="0" t="n">
        <v>1100</v>
      </c>
    </row>
    <row r="4" customFormat="false" ht="12.8" hidden="false" customHeight="false" outlineLevel="0" collapsed="false">
      <c r="A4" s="0" t="s">
        <v>6</v>
      </c>
      <c r="B4" s="0" t="n">
        <v>5</v>
      </c>
      <c r="C4" s="0" t="n">
        <v>5</v>
      </c>
      <c r="D4" s="0" t="n">
        <v>5</v>
      </c>
    </row>
    <row r="5" customFormat="false" ht="12.8" hidden="false" customHeight="false" outlineLevel="0" collapsed="false">
      <c r="A5" s="0" t="s">
        <v>7</v>
      </c>
      <c r="B5" s="0" t="n">
        <v>299</v>
      </c>
      <c r="C5" s="0" t="n">
        <v>299</v>
      </c>
      <c r="D5" s="0" t="n">
        <v>299</v>
      </c>
    </row>
    <row r="6" customFormat="false" ht="12.8" hidden="false" customHeight="false" outlineLevel="0" collapsed="false">
      <c r="A6" s="0" t="s">
        <v>8</v>
      </c>
      <c r="B6" s="0" t="n">
        <f aca="false">B4*B5*B3</f>
        <v>1495000</v>
      </c>
      <c r="C6" s="0" t="n">
        <f aca="false">C4*C5*C3</f>
        <v>1569750</v>
      </c>
      <c r="D6" s="0" t="n">
        <f aca="false">D4*D5*D3</f>
        <v>1644500</v>
      </c>
    </row>
    <row r="7" customFormat="false" ht="12.8" hidden="false" customHeight="false" outlineLevel="0" collapsed="false">
      <c r="A7" s="0" t="s">
        <v>9</v>
      </c>
      <c r="B7" s="0" t="n">
        <v>149</v>
      </c>
      <c r="C7" s="0" t="n">
        <v>149</v>
      </c>
      <c r="D7" s="0" t="n">
        <v>149</v>
      </c>
    </row>
    <row r="8" customFormat="false" ht="12.8" hidden="false" customHeight="false" outlineLevel="0" collapsed="false">
      <c r="A8" s="0" t="s">
        <v>10</v>
      </c>
      <c r="B8" s="0" t="n">
        <v>2</v>
      </c>
      <c r="C8" s="0" t="n">
        <v>2</v>
      </c>
      <c r="D8" s="0" t="n">
        <v>2</v>
      </c>
    </row>
    <row r="9" customFormat="false" ht="12.8" hidden="false" customHeight="false" outlineLevel="0" collapsed="false">
      <c r="A9" s="0" t="s">
        <v>11</v>
      </c>
      <c r="B9" s="0" t="n">
        <f aca="false">B7*B8*B3</f>
        <v>298000</v>
      </c>
      <c r="C9" s="0" t="n">
        <f aca="false">C7*C8*C3</f>
        <v>312900</v>
      </c>
      <c r="D9" s="0" t="n">
        <f aca="false">D7*D8*D3</f>
        <v>327800</v>
      </c>
    </row>
    <row r="10" customFormat="false" ht="12.8" hidden="false" customHeight="false" outlineLevel="0" collapsed="false">
      <c r="A10" s="0" t="s">
        <v>12</v>
      </c>
      <c r="B10" s="0" t="n">
        <f aca="false">B9+B6</f>
        <v>1793000</v>
      </c>
      <c r="C10" s="0" t="n">
        <f aca="false">C9+C6</f>
        <v>1882650</v>
      </c>
      <c r="D10" s="0" t="n">
        <f aca="false">D9+D6</f>
        <v>1972300</v>
      </c>
    </row>
    <row r="11" customFormat="false" ht="12.8" hidden="false" customHeight="false" outlineLevel="0" collapsed="false">
      <c r="A11" s="0" t="s">
        <v>13</v>
      </c>
      <c r="B11" s="0" t="n">
        <v>100000</v>
      </c>
      <c r="C11" s="0" t="n">
        <v>100000</v>
      </c>
      <c r="D11" s="0" t="n">
        <v>100000</v>
      </c>
    </row>
    <row r="12" customFormat="false" ht="12.8" hidden="false" customHeight="false" outlineLevel="0" collapsed="false">
      <c r="A12" s="0" t="s">
        <v>14</v>
      </c>
      <c r="B12" s="0" t="n">
        <v>100000</v>
      </c>
      <c r="C12" s="0" t="n">
        <v>100000</v>
      </c>
      <c r="D12" s="0" t="n">
        <v>100000</v>
      </c>
    </row>
    <row r="13" customFormat="false" ht="12.8" hidden="false" customHeight="false" outlineLevel="0" collapsed="false">
      <c r="A13" s="0" t="s">
        <v>15</v>
      </c>
      <c r="B13" s="0" t="n">
        <f aca="false">B10*0.5</f>
        <v>896500</v>
      </c>
      <c r="C13" s="0" t="n">
        <f aca="false">C10*0.5</f>
        <v>941325</v>
      </c>
      <c r="D13" s="0" t="n">
        <f aca="false">D10*0.5</f>
        <v>986150</v>
      </c>
    </row>
    <row r="14" customFormat="false" ht="12.8" hidden="false" customHeight="false" outlineLevel="0" collapsed="false">
      <c r="A14" s="0" t="s">
        <v>16</v>
      </c>
      <c r="B14" s="0" t="n">
        <f aca="false">B10-B13</f>
        <v>896500</v>
      </c>
      <c r="C14" s="0" t="n">
        <f aca="false">C10-C13</f>
        <v>941325</v>
      </c>
      <c r="D14" s="0" t="n">
        <f aca="false">D10-D13</f>
        <v>986150</v>
      </c>
    </row>
    <row r="15" customFormat="false" ht="12.8" hidden="false" customHeight="false" outlineLevel="0" collapsed="false">
      <c r="A15" s="0" t="s">
        <v>17</v>
      </c>
      <c r="B15" s="0" t="n">
        <f aca="false">B14-B11-B12</f>
        <v>696500</v>
      </c>
      <c r="C15" s="0" t="n">
        <f aca="false">C14-C11-C12</f>
        <v>741325</v>
      </c>
      <c r="D15" s="0" t="n">
        <f aca="false">D14-D11-D12</f>
        <v>786150</v>
      </c>
    </row>
    <row r="16" customFormat="false" ht="12.8" hidden="false" customHeight="false" outlineLevel="0" collapsed="false">
      <c r="A16" s="0" t="s">
        <v>18</v>
      </c>
      <c r="B16" s="0" t="n">
        <f aca="false">B15</f>
        <v>696500</v>
      </c>
      <c r="C16" s="0" t="n">
        <f aca="false">B15+C15</f>
        <v>1437825</v>
      </c>
      <c r="D16" s="2" t="n">
        <f aca="false">C16+D15</f>
        <v>2223975</v>
      </c>
    </row>
  </sheetData>
  <mergeCells count="1">
    <mergeCell ref="A1:B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2022-03-27T22:22:32Z</dcterms:created>
  <dc:creator/>
  <dc:description/>
  <dc:language>ru-RU</dc:language>
  <cp:lastModifiedBy/>
  <dcterms:modified xsi:type="dcterms:W3CDTF">2022-03-27T23:13:16Z</dcterms:modified>
  <cp:revision>2</cp:revision>
  <dc:subject/>
  <dc:title/>
</cp:coreProperties>
</file>